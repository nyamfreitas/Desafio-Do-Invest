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7"/>
  <workbookPr showInkAnnotation="0" defaultThemeVersion="202300"/>
  <xr:revisionPtr revIDLastSave="0" documentId="8_{3A5E0E22-0472-2941-AE13-1FF8E58C3111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lanilha1" sheetId="1" r:id="rId1"/>
    <sheet name="Planilha-APOIO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1" l="1"/>
  <c r="C32" i="1"/>
  <c r="C31" i="1"/>
  <c r="C30" i="1"/>
  <c r="C29" i="1"/>
  <c r="C28" i="1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G3" i="2"/>
  <c r="D25" i="1"/>
  <c r="D28" i="1"/>
  <c r="D29" i="1"/>
  <c r="D30" i="1"/>
  <c r="D31" i="1"/>
  <c r="D32" i="1"/>
  <c r="D33" i="1"/>
  <c r="D34" i="1"/>
  <c r="D14" i="1"/>
  <c r="D15" i="1"/>
  <c r="C22" i="1"/>
  <c r="D22" i="1"/>
  <c r="C21" i="1"/>
  <c r="D21" i="1"/>
  <c r="C20" i="1"/>
  <c r="D20" i="1"/>
  <c r="C19" i="1"/>
  <c r="D19" i="1"/>
  <c r="C18" i="1"/>
  <c r="D18" i="1"/>
  <c r="D8" i="1"/>
</calcChain>
</file>

<file path=xl/sharedStrings.xml><?xml version="1.0" encoding="utf-8"?>
<sst xmlns="http://schemas.openxmlformats.org/spreadsheetml/2006/main" count="75" uniqueCount="39">
  <si>
    <t>Investimento Mensal</t>
  </si>
  <si>
    <t>Qto devo investir?</t>
  </si>
  <si>
    <t>Qto tempo?</t>
  </si>
  <si>
    <t>Qual taxa mensal?</t>
  </si>
  <si>
    <t>Patrimônio?</t>
  </si>
  <si>
    <t>Dividendos Mensais?</t>
  </si>
  <si>
    <t xml:space="preserve">Cenários </t>
  </si>
  <si>
    <t>Qto em 2 anos?</t>
  </si>
  <si>
    <t>Qto em 5 anos?</t>
  </si>
  <si>
    <t>Qto em 10 anos?</t>
  </si>
  <si>
    <t>Qto em 20 anos?</t>
  </si>
  <si>
    <t xml:space="preserve">Qto em 30 anos? </t>
  </si>
  <si>
    <t>Dividendos</t>
  </si>
  <si>
    <t xml:space="preserve">Configurações </t>
  </si>
  <si>
    <t xml:space="preserve">Salário </t>
  </si>
  <si>
    <t xml:space="preserve">Rendimento da carteira </t>
  </si>
  <si>
    <t xml:space="preserve">Sugestão de investimento </t>
  </si>
  <si>
    <t>Perfil</t>
  </si>
  <si>
    <t xml:space="preserve">Valor a ser investido por mês </t>
  </si>
  <si>
    <t>Tipos de FII</t>
  </si>
  <si>
    <t>% sugerido</t>
  </si>
  <si>
    <t>Valores</t>
  </si>
  <si>
    <t>Papel</t>
  </si>
  <si>
    <t>Tijolo</t>
  </si>
  <si>
    <t xml:space="preserve">Híbrido </t>
  </si>
  <si>
    <t>FOFs</t>
  </si>
  <si>
    <t xml:space="preserve">Desenvolvimento </t>
  </si>
  <si>
    <t xml:space="preserve">Hotelaria </t>
  </si>
  <si>
    <t xml:space="preserve">% </t>
  </si>
  <si>
    <t>Chave</t>
  </si>
  <si>
    <t xml:space="preserve">Conservador </t>
  </si>
  <si>
    <t>Moderado</t>
  </si>
  <si>
    <t>Agressivo</t>
  </si>
  <si>
    <t>Moderado-Tijolo</t>
  </si>
  <si>
    <t>%</t>
  </si>
  <si>
    <t xml:space="preserve">Intervalos nomeados </t>
  </si>
  <si>
    <t xml:space="preserve">Conservador, moderado, agressivo </t>
  </si>
  <si>
    <t>Chaves</t>
  </si>
  <si>
    <t xml:space="preserve">Patrimônio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</si>
</sst>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[$R$-416]\ #,##0.00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i/>
      <sz val="15"/>
      <color theme="8" tint="-0.499984740745262"/>
      <name val="Agency FB"/>
      <family val="34"/>
      <charset val="77"/>
    </font>
    <font>
      <b/>
      <i/>
      <sz val="15"/>
      <color theme="4" tint="-0.249977111117893"/>
      <name val="Agency FB"/>
      <family val="34"/>
      <charset val="77"/>
    </font>
    <font>
      <b/>
      <i/>
      <sz val="11"/>
      <color theme="1"/>
      <name val="Aptos Narrow"/>
      <family val="2"/>
      <scheme val="minor"/>
    </font>
    <font>
      <b/>
      <i/>
      <sz val="15"/>
      <color theme="8" tint="-0.499984740745262"/>
      <name val="Agency FB"/>
      <charset val="77"/>
    </font>
  </fonts>
  <fills count="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9.9978637043366805E-2"/>
        <bgColor indexed="64"/>
      </patternFill>
    </fill>
    <fill>
      <patternFill patternType="solid">
        <fgColor rgb="FFFFEB9C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medium">
        <color theme="0" tint="-0.749992370372631"/>
      </left>
      <right/>
      <top style="medium">
        <color theme="0" tint="-0.749992370372631"/>
      </top>
      <bottom/>
      <diagonal/>
    </border>
    <border>
      <left/>
      <right style="medium">
        <color theme="0" tint="-0.749992370372631"/>
      </right>
      <top style="medium">
        <color theme="0" tint="-0.749992370372631"/>
      </top>
      <bottom/>
      <diagonal/>
    </border>
    <border>
      <left style="thin">
        <color theme="0" tint="-0.249977111117893"/>
      </left>
      <right style="medium">
        <color theme="0" tint="-0.749992370372631"/>
      </right>
      <top style="medium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749992370372631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749992370372631"/>
      </right>
      <top style="thin">
        <color theme="0" tint="-0.249977111117893"/>
      </top>
      <bottom style="medium">
        <color theme="0" tint="-0.74999237037263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749992370372631"/>
      </left>
      <right/>
      <top style="medium">
        <color theme="0" tint="-0.249977111117893"/>
      </top>
      <bottom style="thin">
        <color theme="0" tint="-0.249977111117893"/>
      </bottom>
      <diagonal/>
    </border>
    <border>
      <left style="medium">
        <color theme="0" tint="-0.749992370372631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749992370372631"/>
      </left>
      <right/>
      <top style="thin">
        <color theme="0" tint="-0.249977111117893"/>
      </top>
      <bottom style="medium">
        <color theme="0" tint="-0.749992370372631"/>
      </bottom>
      <diagonal/>
    </border>
    <border>
      <left/>
      <right/>
      <top style="medium">
        <color theme="0" tint="-0.749992370372631"/>
      </top>
      <bottom/>
      <diagonal/>
    </border>
    <border>
      <left style="thin">
        <color theme="0" tint="-0.249977111117893"/>
      </left>
      <right style="medium">
        <color theme="0" tint="-0.749992370372631"/>
      </right>
      <top style="medium">
        <color theme="0" tint="-0.749992370372631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749992370372631"/>
      </bottom>
      <diagonal/>
    </border>
    <border>
      <left/>
      <right style="thin">
        <color theme="0" tint="-0.249977111117893"/>
      </right>
      <top style="medium">
        <color theme="0" tint="-0.749992370372631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theme="0" tint="-0.749992370372631"/>
      </bottom>
      <diagonal/>
    </border>
    <border>
      <left style="medium">
        <color theme="0" tint="-0.749992370372631"/>
      </left>
      <right/>
      <top/>
      <bottom style="medium">
        <color theme="0" tint="-0.749992370372631"/>
      </bottom>
      <diagonal/>
    </border>
    <border>
      <left style="medium">
        <color theme="0" tint="-0.749992370372631"/>
      </left>
      <right/>
      <top style="medium">
        <color theme="0" tint="-0.749992370372631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medium">
        <color theme="0" tint="-0.749992370372631"/>
      </top>
      <bottom style="thin">
        <color theme="0" tint="-0.249977111117893"/>
      </bottom>
      <diagonal/>
    </border>
    <border>
      <left/>
      <right style="medium">
        <color theme="0" tint="-0.749992370372631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medium">
        <color theme="0" tint="-0.749992370372631"/>
      </bottom>
      <diagonal/>
    </border>
    <border>
      <left/>
      <right/>
      <top/>
      <bottom style="medium">
        <color theme="0" tint="-0.749992370372631"/>
      </bottom>
      <diagonal/>
    </border>
    <border>
      <left style="medium">
        <color theme="0" tint="-0.749992370372631"/>
      </left>
      <right style="thin">
        <color theme="0" tint="-9.9978637043366805E-2"/>
      </right>
      <top style="thin">
        <color theme="0" tint="-9.9978637043366805E-2"/>
      </top>
      <bottom style="thin">
        <color theme="0" tint="-9.9978637043366805E-2"/>
      </bottom>
      <diagonal/>
    </border>
    <border>
      <left style="thin">
        <color theme="0" tint="-9.9978637043366805E-2"/>
      </left>
      <right style="medium">
        <color theme="0" tint="-0.749992370372631"/>
      </right>
      <top style="thin">
        <color theme="0" tint="-9.9978637043366805E-2"/>
      </top>
      <bottom style="thin">
        <color theme="0" tint="-9.9978637043366805E-2"/>
      </bottom>
      <diagonal/>
    </border>
    <border>
      <left style="medium">
        <color theme="0" tint="-0.749992370372631"/>
      </left>
      <right style="thin">
        <color theme="0" tint="-9.9978637043366805E-2"/>
      </right>
      <top style="thin">
        <color theme="0" tint="-9.9978637043366805E-2"/>
      </top>
      <bottom style="medium">
        <color theme="0" tint="-0.749992370372631"/>
      </bottom>
      <diagonal/>
    </border>
    <border>
      <left style="thin">
        <color theme="0" tint="-9.9978637043366805E-2"/>
      </left>
      <right style="thin">
        <color theme="0" tint="-9.9978637043366805E-2"/>
      </right>
      <top style="thin">
        <color theme="0" tint="-9.9978637043366805E-2"/>
      </top>
      <bottom style="medium">
        <color theme="0" tint="-0.749992370372631"/>
      </bottom>
      <diagonal/>
    </border>
    <border>
      <left style="thin">
        <color theme="0" tint="-9.9978637043366805E-2"/>
      </left>
      <right style="medium">
        <color theme="0" tint="-0.749992370372631"/>
      </right>
      <top style="thin">
        <color theme="0" tint="-9.9978637043366805E-2"/>
      </top>
      <bottom style="medium">
        <color theme="0" tint="-0.749992370372631"/>
      </bottom>
      <diagonal/>
    </border>
    <border>
      <left style="medium">
        <color theme="0" tint="-0.749992370372631"/>
      </left>
      <right style="thin">
        <color theme="0" tint="-9.9978637043366805E-2"/>
      </right>
      <top/>
      <bottom style="thin">
        <color theme="0" tint="-9.9978637043366805E-2"/>
      </bottom>
      <diagonal/>
    </border>
    <border>
      <left style="thin">
        <color theme="0" tint="-9.9978637043366805E-2"/>
      </left>
      <right style="thin">
        <color theme="0" tint="-9.9978637043366805E-2"/>
      </right>
      <top/>
      <bottom style="thin">
        <color theme="0" tint="-9.9978637043366805E-2"/>
      </bottom>
      <diagonal/>
    </border>
    <border>
      <left style="thin">
        <color theme="0" tint="-9.9978637043366805E-2"/>
      </left>
      <right style="medium">
        <color theme="0" tint="-0.749992370372631"/>
      </right>
      <top/>
      <bottom style="thin">
        <color theme="0" tint="-9.9978637043366805E-2"/>
      </bottom>
      <diagonal/>
    </border>
  </borders>
  <cellStyleXfs count="2">
    <xf numFmtId="0" fontId="0" fillId="0" borderId="0"/>
    <xf numFmtId="0" fontId="2" fillId="4" borderId="0" applyNumberFormat="0" applyBorder="0" applyAlignment="0" applyProtection="0"/>
  </cellStyleXfs>
  <cellXfs count="60">
    <xf numFmtId="0" fontId="0" fillId="0" borderId="0" xfId="0"/>
    <xf numFmtId="0" fontId="0" fillId="0" borderId="0" xfId="0" applyFill="1"/>
    <xf numFmtId="0" fontId="0" fillId="0" borderId="4" xfId="0" applyFill="1" applyBorder="1"/>
    <xf numFmtId="10" fontId="0" fillId="0" borderId="4" xfId="0" applyNumberFormat="1" applyFill="1" applyBorder="1"/>
    <xf numFmtId="164" fontId="0" fillId="0" borderId="3" xfId="0" applyNumberFormat="1" applyFill="1" applyBorder="1"/>
    <xf numFmtId="8" fontId="1" fillId="3" borderId="4" xfId="0" applyNumberFormat="1" applyFont="1" applyFill="1" applyBorder="1"/>
    <xf numFmtId="8" fontId="1" fillId="3" borderId="5" xfId="0" applyNumberFormat="1" applyFont="1" applyFill="1" applyBorder="1"/>
    <xf numFmtId="0" fontId="3" fillId="0" borderId="0" xfId="0" applyFont="1" applyFill="1"/>
    <xf numFmtId="0" fontId="4" fillId="2" borderId="11" xfId="0" applyFont="1" applyFill="1" applyBorder="1" applyAlignment="1"/>
    <xf numFmtId="0" fontId="4" fillId="2" borderId="1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0" fillId="3" borderId="7" xfId="0" applyFill="1" applyBorder="1"/>
    <xf numFmtId="8" fontId="0" fillId="3" borderId="6" xfId="0" applyNumberFormat="1" applyFill="1" applyBorder="1"/>
    <xf numFmtId="8" fontId="0" fillId="3" borderId="4" xfId="0" applyNumberFormat="1" applyFill="1" applyBorder="1"/>
    <xf numFmtId="0" fontId="0" fillId="3" borderId="8" xfId="0" applyFill="1" applyBorder="1"/>
    <xf numFmtId="0" fontId="0" fillId="3" borderId="9" xfId="0" applyFill="1" applyBorder="1"/>
    <xf numFmtId="8" fontId="0" fillId="3" borderId="12" xfId="0" applyNumberFormat="1" applyFill="1" applyBorder="1"/>
    <xf numFmtId="8" fontId="0" fillId="3" borderId="5" xfId="0" applyNumberFormat="1" applyFill="1" applyBorder="1"/>
    <xf numFmtId="0" fontId="4" fillId="2" borderId="13" xfId="0" applyFont="1" applyFill="1" applyBorder="1" applyAlignment="1">
      <alignment horizontal="center"/>
    </xf>
    <xf numFmtId="164" fontId="0" fillId="0" borderId="4" xfId="0" applyNumberFormat="1" applyFill="1" applyBorder="1"/>
    <xf numFmtId="0" fontId="4" fillId="2" borderId="2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5" fillId="6" borderId="2" xfId="0" applyFont="1" applyFill="1" applyBorder="1" applyAlignment="1"/>
    <xf numFmtId="0" fontId="0" fillId="0" borderId="0" xfId="0" applyFill="1" applyAlignment="1">
      <alignment horizontal="center"/>
    </xf>
    <xf numFmtId="9" fontId="0" fillId="0" borderId="19" xfId="0" applyNumberFormat="1" applyFill="1" applyBorder="1" applyAlignment="1">
      <alignment horizontal="right"/>
    </xf>
    <xf numFmtId="164" fontId="0" fillId="3" borderId="5" xfId="0" applyNumberFormat="1" applyFill="1" applyBorder="1"/>
    <xf numFmtId="0" fontId="6" fillId="7" borderId="0" xfId="0" applyFont="1" applyFill="1" applyAlignment="1">
      <alignment horizontal="center" vertical="center"/>
    </xf>
    <xf numFmtId="9" fontId="0" fillId="0" borderId="0" xfId="0" applyNumberFormat="1" applyFill="1" applyAlignment="1">
      <alignment horizontal="center"/>
    </xf>
    <xf numFmtId="0" fontId="0" fillId="0" borderId="21" xfId="0" applyBorder="1"/>
    <xf numFmtId="0" fontId="0" fillId="0" borderId="21" xfId="0" applyFill="1" applyBorder="1" applyAlignment="1">
      <alignment horizontal="center"/>
    </xf>
    <xf numFmtId="9" fontId="0" fillId="0" borderId="21" xfId="0" applyNumberFormat="1" applyFill="1" applyBorder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21" xfId="0" applyNumberFormat="1" applyBorder="1" applyAlignment="1">
      <alignment horizontal="center"/>
    </xf>
    <xf numFmtId="0" fontId="2" fillId="4" borderId="0" xfId="1"/>
    <xf numFmtId="9" fontId="2" fillId="4" borderId="0" xfId="1" applyNumberFormat="1"/>
    <xf numFmtId="0" fontId="0" fillId="0" borderId="22" xfId="0" applyFill="1" applyBorder="1" applyAlignment="1">
      <alignment horizontal="center"/>
    </xf>
    <xf numFmtId="8" fontId="0" fillId="0" borderId="23" xfId="0" applyNumberFormat="1" applyFill="1" applyBorder="1" applyAlignment="1">
      <alignment horizontal="center"/>
    </xf>
    <xf numFmtId="0" fontId="0" fillId="0" borderId="27" xfId="0" applyFill="1" applyBorder="1" applyAlignment="1">
      <alignment horizontal="center"/>
    </xf>
    <xf numFmtId="8" fontId="0" fillId="0" borderId="29" xfId="0" applyNumberFormat="1" applyFill="1" applyBorder="1" applyAlignment="1">
      <alignment horizontal="center"/>
    </xf>
    <xf numFmtId="0" fontId="0" fillId="5" borderId="24" xfId="0" applyFill="1" applyBorder="1"/>
    <xf numFmtId="0" fontId="0" fillId="5" borderId="25" xfId="0" applyFill="1" applyBorder="1"/>
    <xf numFmtId="8" fontId="1" fillId="5" borderId="26" xfId="0" applyNumberFormat="1" applyFont="1" applyFill="1" applyBorder="1"/>
    <xf numFmtId="9" fontId="0" fillId="8" borderId="28" xfId="0" applyNumberForma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5" fillId="6" borderId="10" xfId="0" applyFont="1" applyFill="1" applyBorder="1" applyAlignment="1">
      <alignment horizontal="center"/>
    </xf>
    <xf numFmtId="0" fontId="0" fillId="0" borderId="8" xfId="0" applyFill="1" applyBorder="1" applyAlignment="1">
      <alignment horizontal="left"/>
    </xf>
    <xf numFmtId="0" fontId="0" fillId="0" borderId="14" xfId="0" applyFill="1" applyBorder="1" applyAlignment="1">
      <alignment horizontal="left"/>
    </xf>
    <xf numFmtId="0" fontId="1" fillId="3" borderId="8" xfId="0" applyFont="1" applyFill="1" applyBorder="1" applyAlignment="1">
      <alignment horizontal="left"/>
    </xf>
    <xf numFmtId="0" fontId="1" fillId="3" borderId="14" xfId="0" applyFont="1" applyFill="1" applyBorder="1" applyAlignment="1">
      <alignment horizontal="left"/>
    </xf>
    <xf numFmtId="0" fontId="0" fillId="3" borderId="16" xfId="0" applyFill="1" applyBorder="1" applyAlignment="1">
      <alignment horizontal="left"/>
    </xf>
    <xf numFmtId="0" fontId="0" fillId="3" borderId="20" xfId="0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1" fillId="3" borderId="15" xfId="0" applyFont="1" applyFill="1" applyBorder="1" applyAlignment="1">
      <alignment horizontal="left"/>
    </xf>
    <xf numFmtId="0" fontId="0" fillId="3" borderId="8" xfId="0" applyFill="1" applyBorder="1" applyAlignment="1">
      <alignment horizontal="left"/>
    </xf>
    <xf numFmtId="0" fontId="0" fillId="3" borderId="14" xfId="0" applyFill="1" applyBorder="1" applyAlignment="1">
      <alignment horizontal="left"/>
    </xf>
    <xf numFmtId="0" fontId="0" fillId="3" borderId="9" xfId="0" applyFill="1" applyBorder="1" applyAlignment="1">
      <alignment horizontal="left"/>
    </xf>
    <xf numFmtId="0" fontId="0" fillId="3" borderId="15" xfId="0" applyFill="1" applyBorder="1" applyAlignment="1">
      <alignment horizontal="left"/>
    </xf>
    <xf numFmtId="0" fontId="4" fillId="2" borderId="17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</cellXfs>
  <cellStyles count="2">
    <cellStyle name="Neutro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Planilha1!$C$27</c:f>
              <c:strCache>
                <c:ptCount val="1"/>
                <c:pt idx="0">
                  <c:v>% sugerido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/>
                </a:innerShdw>
              </a:effectLst>
            </c:spPr>
          </c:dPt>
          <c:dPt>
            <c:idx val="1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</c:dPt>
          <c:dPt>
            <c:idx val="2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</c:dPt>
          <c:dPt>
            <c:idx val="3"/>
            <c:bubble3D val="0"/>
            <c:spPr>
              <a:pattFill prst="ltUpDiag">
                <a:fgClr>
                  <a:schemeClr val="accent6">
                    <a:lumMod val="60000"/>
                  </a:schemeClr>
                </a:fgClr>
                <a:bgClr>
                  <a:schemeClr val="accent6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60000"/>
                  </a:schemeClr>
                </a:innerShdw>
              </a:effectLst>
            </c:spPr>
          </c:dPt>
          <c:dPt>
            <c:idx val="4"/>
            <c:bubble3D val="0"/>
            <c:spPr>
              <a:pattFill prst="ltUpDiag">
                <a:fgClr>
                  <a:schemeClr val="accent5">
                    <a:lumMod val="60000"/>
                  </a:schemeClr>
                </a:fgClr>
                <a:bgClr>
                  <a:schemeClr val="accent5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60000"/>
                  </a:schemeClr>
                </a:innerShdw>
              </a:effectLst>
            </c:spPr>
          </c:dPt>
          <c:dPt>
            <c:idx val="5"/>
            <c:bubble3D val="0"/>
            <c:spPr>
              <a:pattFill prst="ltUpDiag">
                <a:fgClr>
                  <a:schemeClr val="accent4">
                    <a:lumMod val="60000"/>
                  </a:schemeClr>
                </a:fgClr>
                <a:bgClr>
                  <a:schemeClr val="accent4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60000"/>
                  </a:schemeClr>
                </a:inn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Planilha1!$B$28:$B$33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 </c:v>
                </c:pt>
                <c:pt idx="3">
                  <c:v>FOFs</c:v>
                </c:pt>
                <c:pt idx="4">
                  <c:v>Desenvolvimento </c:v>
                </c:pt>
                <c:pt idx="5">
                  <c:v>Hotelaria </c:v>
                </c:pt>
              </c:strCache>
            </c:strRef>
          </c:cat>
          <c:val>
            <c:numRef>
              <c:f>Planilha1!$C$28:$C$33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1D4A-4749-B9D7-E59862CFF14B}"/>
            </c:ext>
          </c:extLst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277015</xdr:colOff>
      <xdr:row>0</xdr:row>
      <xdr:rowOff>133990</xdr:rowOff>
    </xdr:from>
    <xdr:ext cx="3105418" cy="549677"/>
    <xdr:pic>
      <xdr:nvPicPr>
        <xdr:cNvPr id="8" name="Imagem 7">
          <a:extLst>
            <a:ext uri="{FF2B5EF4-FFF2-40B4-BE49-F238E27FC236}">
              <a16:creationId xmlns:a16="http://schemas.microsoft.com/office/drawing/2014/main" id="{834F8AB7-5F67-B29E-C03E-00BB07CDFEA1}"/>
            </a:ext>
            <a:ext uri="{147F2762-F138-4A5C-976F-8EAC2B608ADB}">
              <a16:predDERef xmlns:a16="http://schemas.microsoft.com/office/drawing/2014/main" pred="{4488E725-20C8-E902-F903-D7C89AC0C5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934" t="18596" r="5893" b="75211"/>
        <a:stretch>
          <a:fillRect/>
        </a:stretch>
      </xdr:blipFill>
      <xdr:spPr>
        <a:xfrm>
          <a:off x="886615" y="133990"/>
          <a:ext cx="3105418" cy="553910"/>
        </a:xfrm>
        <a:prstGeom prst="rect">
          <a:avLst/>
        </a:prstGeom>
      </xdr:spPr>
    </xdr:pic>
    <xdr:clientData/>
  </xdr:oneCellAnchor>
  <xdr:oneCellAnchor>
    <xdr:from>
      <xdr:col>2</xdr:col>
      <xdr:colOff>929982</xdr:colOff>
      <xdr:row>0</xdr:row>
      <xdr:rowOff>20320</xdr:rowOff>
    </xdr:from>
    <xdr:ext cx="383755" cy="193040"/>
    <xdr:pic>
      <xdr:nvPicPr>
        <xdr:cNvPr id="14" name="Imagem 13">
          <a:extLst>
            <a:ext uri="{FF2B5EF4-FFF2-40B4-BE49-F238E27FC236}">
              <a16:creationId xmlns:a16="http://schemas.microsoft.com/office/drawing/2014/main" id="{4C65EBBF-4A0A-884C-85AA-6EB80D57631E}"/>
            </a:ext>
            <a:ext uri="{147F2762-F138-4A5C-976F-8EAC2B608ADB}">
              <a16:predDERef xmlns:a16="http://schemas.microsoft.com/office/drawing/2014/main" pred="{834F8AB7-5F67-B29E-C03E-00BB07CDFE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75249" y="20320"/>
          <a:ext cx="383755" cy="193040"/>
        </a:xfrm>
        <a:prstGeom prst="rect">
          <a:avLst/>
        </a:prstGeom>
      </xdr:spPr>
    </xdr:pic>
    <xdr:clientData/>
  </xdr:oneCellAnchor>
  <xdr:twoCellAnchor>
    <xdr:from>
      <xdr:col>0</xdr:col>
      <xdr:colOff>172509</xdr:colOff>
      <xdr:row>34</xdr:row>
      <xdr:rowOff>144676</xdr:rowOff>
    </xdr:from>
    <xdr:to>
      <xdr:col>4</xdr:col>
      <xdr:colOff>524250</xdr:colOff>
      <xdr:row>55</xdr:row>
      <xdr:rowOff>23860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3A427CD-2EF7-9B3A-A9F2-99C32CF841DA}"/>
            </a:ext>
            <a:ext uri="{147F2762-F138-4A5C-976F-8EAC2B608ADB}">
              <a16:predDERef xmlns:a16="http://schemas.microsoft.com/office/drawing/2014/main" pred="{4C65EBBF-4A0A-884C-85AA-6EB80D5763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37F6A-94D9-0F43-B922-7952F5E0A6B1}">
  <dimension ref="A1:ARE57"/>
  <sheetViews>
    <sheetView showGridLines="0" tabSelected="1" zoomScaleNormal="100" zoomScaleSheetLayoutView="100" workbookViewId="0">
      <selection activeCell="C28" sqref="C28"/>
    </sheetView>
  </sheetViews>
  <sheetFormatPr defaultColWidth="0" defaultRowHeight="15" customHeight="1" x14ac:dyDescent="0.2"/>
  <cols>
    <col min="1" max="1" width="8.609375" style="1" customWidth="1"/>
    <col min="2" max="2" width="24.48046875" style="1" customWidth="1"/>
    <col min="3" max="3" width="14.390625" style="1" bestFit="1" customWidth="1"/>
    <col min="4" max="4" width="14.2578125" style="1" customWidth="1"/>
    <col min="5" max="5" width="8.609375" style="1" customWidth="1"/>
    <col min="6" max="1148" width="0" style="1" hidden="1" customWidth="1"/>
    <col min="1149" max="16384" width="0" style="1" hidden="1"/>
  </cols>
  <sheetData>
    <row r="1" spans="1:4 1149:1149" x14ac:dyDescent="0.2"/>
    <row r="2" spans="1:4 1149:1149" x14ac:dyDescent="0.2"/>
    <row r="3" spans="1:4 1149:1149" x14ac:dyDescent="0.2"/>
    <row r="4" spans="1:4 1149:1149" ht="15.75" thickBot="1" x14ac:dyDescent="0.25"/>
    <row r="5" spans="1:4 1149:1149" ht="19.5" thickBot="1" x14ac:dyDescent="0.25">
      <c r="B5" s="44" t="s">
        <v>13</v>
      </c>
      <c r="C5" s="45"/>
      <c r="D5" s="22"/>
    </row>
    <row r="6" spans="1:4 1149:1149" x14ac:dyDescent="0.2">
      <c r="B6" s="54" t="s">
        <v>14</v>
      </c>
      <c r="C6" s="55"/>
      <c r="D6" s="4">
        <v>5000</v>
      </c>
    </row>
    <row r="7" spans="1:4 1149:1149" x14ac:dyDescent="0.2">
      <c r="B7" s="54" t="s">
        <v>15</v>
      </c>
      <c r="C7" s="55"/>
      <c r="D7" s="24">
        <v>0.01</v>
      </c>
    </row>
    <row r="8" spans="1:4 1149:1149" ht="15.75" thickBot="1" x14ac:dyDescent="0.25">
      <c r="B8" s="56" t="s">
        <v>16</v>
      </c>
      <c r="C8" s="57"/>
      <c r="D8" s="25">
        <f>D6*30%</f>
        <v>1500</v>
      </c>
    </row>
    <row r="9" spans="1:4 1149:1149" ht="15.75" thickBot="1" x14ac:dyDescent="0.25"/>
    <row r="10" spans="1:4 1149:1149" ht="18.75" x14ac:dyDescent="0.2">
      <c r="B10" s="58" t="s">
        <v>0</v>
      </c>
      <c r="C10" s="59"/>
      <c r="D10" s="8"/>
    </row>
    <row r="11" spans="1:4 1149:1149" x14ac:dyDescent="0.2">
      <c r="B11" s="46" t="s">
        <v>1</v>
      </c>
      <c r="C11" s="47"/>
      <c r="D11" s="19">
        <v>500</v>
      </c>
    </row>
    <row r="12" spans="1:4 1149:1149" x14ac:dyDescent="0.2">
      <c r="A12" s="7">
        <v>2</v>
      </c>
      <c r="B12" s="46" t="s">
        <v>2</v>
      </c>
      <c r="C12" s="47"/>
      <c r="D12" s="2">
        <v>5</v>
      </c>
    </row>
    <row r="13" spans="1:4 1149:1149" x14ac:dyDescent="0.2">
      <c r="A13" s="7">
        <v>5</v>
      </c>
      <c r="B13" s="46" t="s">
        <v>3</v>
      </c>
      <c r="C13" s="47"/>
      <c r="D13" s="3">
        <v>1.0789999999999999E-2</v>
      </c>
    </row>
    <row r="14" spans="1:4 1149:1149" x14ac:dyDescent="0.2">
      <c r="A14" s="7">
        <v>10</v>
      </c>
      <c r="B14" s="48" t="s">
        <v>4</v>
      </c>
      <c r="C14" s="49"/>
      <c r="D14" s="5">
        <f>FV(D13,D12*12,D11*-1)</f>
        <v>41888.456999243819</v>
      </c>
    </row>
    <row r="15" spans="1:4 1149:1149" ht="15.75" thickBot="1" x14ac:dyDescent="0.25">
      <c r="A15" s="7">
        <v>20</v>
      </c>
      <c r="B15" s="52" t="s">
        <v>5</v>
      </c>
      <c r="C15" s="53"/>
      <c r="D15" s="6">
        <f>D14*D7</f>
        <v>418.88456999243817</v>
      </c>
    </row>
    <row r="16" spans="1:4 1149:1149" ht="15.75" thickBot="1" x14ac:dyDescent="0.25">
      <c r="A16" s="7">
        <v>30</v>
      </c>
      <c r="ARE16" s="1" t="s">
        <v>35</v>
      </c>
    </row>
    <row r="17" spans="2:4 1149:1149" ht="19.5" thickBot="1" x14ac:dyDescent="0.25">
      <c r="B17" s="9" t="s">
        <v>6</v>
      </c>
      <c r="C17" s="43" t="s">
        <v>38</v>
      </c>
      <c r="D17" s="10" t="s">
        <v>12</v>
      </c>
      <c r="ARE17" s="1" t="s">
        <v>36</v>
      </c>
    </row>
    <row r="18" spans="2:4 1149:1149" x14ac:dyDescent="0.2">
      <c r="B18" s="11" t="s">
        <v>7</v>
      </c>
      <c r="C18" s="12">
        <f>FV($D$13,A12*12,$D$11*-1)</f>
        <v>13613.813648822608</v>
      </c>
      <c r="D18" s="13">
        <f>C18*$D$7</f>
        <v>136.13813648822608</v>
      </c>
    </row>
    <row r="19" spans="2:4 1149:1149" x14ac:dyDescent="0.2">
      <c r="B19" s="14" t="s">
        <v>8</v>
      </c>
      <c r="C19" s="12">
        <f>FV($D$13,A13*12,$D$11*-1)</f>
        <v>41888.456999243819</v>
      </c>
      <c r="D19" s="13">
        <f>C19*$D$7</f>
        <v>418.88456999243817</v>
      </c>
    </row>
    <row r="20" spans="2:4 1149:1149" x14ac:dyDescent="0.2">
      <c r="B20" s="14" t="s">
        <v>9</v>
      </c>
      <c r="C20" s="12">
        <f>FV($D$13,A14*12,$D$11*-1)</f>
        <v>121642.1062650861</v>
      </c>
      <c r="D20" s="13">
        <f>C20*$D$7</f>
        <v>1216.4210626508609</v>
      </c>
    </row>
    <row r="21" spans="2:4 1149:1149" x14ac:dyDescent="0.2">
      <c r="B21" s="14" t="s">
        <v>10</v>
      </c>
      <c r="C21" s="12">
        <f>FV($D$13,A15*12,$D$11*-1)</f>
        <v>562599.20004854025</v>
      </c>
      <c r="D21" s="13">
        <f>C21*$D$7</f>
        <v>5625.992000485403</v>
      </c>
    </row>
    <row r="22" spans="2:4 1149:1149" ht="15.75" thickBot="1" x14ac:dyDescent="0.25">
      <c r="B22" s="15" t="s">
        <v>11</v>
      </c>
      <c r="C22" s="16">
        <f>FV($D$13,A16*12,$D$11*-1)</f>
        <v>2161084.8275023573</v>
      </c>
      <c r="D22" s="17">
        <f>C22*$D$7</f>
        <v>21610.848275023574</v>
      </c>
    </row>
    <row r="23" spans="2:4 1149:1149" ht="15.75" thickBot="1" x14ac:dyDescent="0.25"/>
    <row r="24" spans="2:4 1149:1149" ht="18.75" x14ac:dyDescent="0.2">
      <c r="B24" s="9" t="s">
        <v>17</v>
      </c>
      <c r="C24" s="18" t="s">
        <v>31</v>
      </c>
      <c r="D24" s="10"/>
    </row>
    <row r="25" spans="2:4 1149:1149" ht="15.75" thickBot="1" x14ac:dyDescent="0.25">
      <c r="B25" s="50" t="s">
        <v>18</v>
      </c>
      <c r="C25" s="51"/>
      <c r="D25" s="17">
        <f>D11</f>
        <v>500</v>
      </c>
    </row>
    <row r="26" spans="2:4 1149:1149" ht="15.75" thickBot="1" x14ac:dyDescent="0.25">
      <c r="ARE26" s="1" t="s">
        <v>37</v>
      </c>
    </row>
    <row r="27" spans="2:4 1149:1149" ht="18.75" x14ac:dyDescent="0.2">
      <c r="B27" s="9" t="s">
        <v>19</v>
      </c>
      <c r="C27" s="21" t="s">
        <v>20</v>
      </c>
      <c r="D27" s="20" t="s">
        <v>21</v>
      </c>
    </row>
    <row r="28" spans="2:4 1149:1149" x14ac:dyDescent="0.2">
      <c r="B28" s="37" t="s">
        <v>22</v>
      </c>
      <c r="C28" s="42">
        <f>VLOOKUP($C$24&amp;"-"&amp;B28,'Planilha-APOIO'!$A:$D,4,FALSE)</f>
        <v>0.32</v>
      </c>
      <c r="D28" s="38">
        <f>$D$25*C28</f>
        <v>160</v>
      </c>
    </row>
    <row r="29" spans="2:4 1149:1149" x14ac:dyDescent="0.2">
      <c r="B29" s="35" t="s">
        <v>23</v>
      </c>
      <c r="C29" s="42">
        <f>VLOOKUP($C$24&amp;"-"&amp;B29,'Planilha-APOIO'!$A:$D,4,FALSE)</f>
        <v>0.35</v>
      </c>
      <c r="D29" s="36">
        <f t="shared" ref="D29:D33" si="0">$D$25*C29</f>
        <v>175</v>
      </c>
    </row>
    <row r="30" spans="2:4 1149:1149" x14ac:dyDescent="0.2">
      <c r="B30" s="35" t="s">
        <v>24</v>
      </c>
      <c r="C30" s="42">
        <f>VLOOKUP($C$24&amp;"-"&amp;B30,'Planilha-APOIO'!$A:$D,4,FALSE)</f>
        <v>0.08</v>
      </c>
      <c r="D30" s="36">
        <f t="shared" si="0"/>
        <v>40</v>
      </c>
    </row>
    <row r="31" spans="2:4 1149:1149" x14ac:dyDescent="0.2">
      <c r="B31" s="35" t="s">
        <v>25</v>
      </c>
      <c r="C31" s="42">
        <f>VLOOKUP($C$24&amp;"-"&amp;B31,'Planilha-APOIO'!$A:$D,4,FALSE)</f>
        <v>0.05</v>
      </c>
      <c r="D31" s="36">
        <f t="shared" si="0"/>
        <v>25</v>
      </c>
    </row>
    <row r="32" spans="2:4 1149:1149" x14ac:dyDescent="0.2">
      <c r="B32" s="35" t="s">
        <v>26</v>
      </c>
      <c r="C32" s="42">
        <f>VLOOKUP($C$24&amp;"-"&amp;B32,'Planilha-APOIO'!$A:$D,4,FALSE)</f>
        <v>0.1</v>
      </c>
      <c r="D32" s="36">
        <f t="shared" si="0"/>
        <v>50</v>
      </c>
    </row>
    <row r="33" spans="2:4" x14ac:dyDescent="0.2">
      <c r="B33" s="35" t="s">
        <v>27</v>
      </c>
      <c r="C33" s="42">
        <f>VLOOKUP($C$24&amp;"-"&amp;B33,'Planilha-APOIO'!$A:$D,4,FALSE)</f>
        <v>0.1</v>
      </c>
      <c r="D33" s="36">
        <f t="shared" si="0"/>
        <v>50</v>
      </c>
    </row>
    <row r="34" spans="2:4" ht="15.75" thickBot="1" x14ac:dyDescent="0.25">
      <c r="B34" s="39"/>
      <c r="C34" s="40"/>
      <c r="D34" s="41">
        <f>SUM(D28:D33)</f>
        <v>500</v>
      </c>
    </row>
    <row r="35" spans="2:4" x14ac:dyDescent="0.2"/>
    <row r="36" spans="2:4" x14ac:dyDescent="0.2"/>
    <row r="37" spans="2:4" x14ac:dyDescent="0.2"/>
    <row r="38" spans="2:4" x14ac:dyDescent="0.2"/>
    <row r="39" spans="2:4" x14ac:dyDescent="0.2"/>
    <row r="40" spans="2:4" x14ac:dyDescent="0.2"/>
    <row r="41" spans="2:4" x14ac:dyDescent="0.2"/>
    <row r="42" spans="2:4" x14ac:dyDescent="0.2"/>
    <row r="43" spans="2:4" x14ac:dyDescent="0.2"/>
    <row r="44" spans="2:4" x14ac:dyDescent="0.2"/>
    <row r="45" spans="2:4" x14ac:dyDescent="0.2"/>
    <row r="46" spans="2:4" x14ac:dyDescent="0.2"/>
    <row r="47" spans="2:4" x14ac:dyDescent="0.2"/>
    <row r="48" spans="2:4" x14ac:dyDescent="0.2"/>
    <row r="49" x14ac:dyDescent="0.2"/>
    <row r="50" x14ac:dyDescent="0.2"/>
    <row r="51" x14ac:dyDescent="0.2"/>
    <row r="52" x14ac:dyDescent="0.2"/>
    <row r="53" x14ac:dyDescent="0.2"/>
    <row r="54" x14ac:dyDescent="0.2"/>
    <row r="55" x14ac:dyDescent="0.2"/>
    <row r="56" x14ac:dyDescent="0.2"/>
    <row r="57" x14ac:dyDescent="0.2"/>
  </sheetData>
  <mergeCells count="11">
    <mergeCell ref="B5:C5"/>
    <mergeCell ref="B11:C11"/>
    <mergeCell ref="B14:C14"/>
    <mergeCell ref="B13:C13"/>
    <mergeCell ref="B25:C25"/>
    <mergeCell ref="B15:C15"/>
    <mergeCell ref="B6:C6"/>
    <mergeCell ref="B8:C8"/>
    <mergeCell ref="B7:C7"/>
    <mergeCell ref="B10:C10"/>
    <mergeCell ref="B12:C12"/>
  </mergeCells>
  <dataValidations count="1">
    <dataValidation type="list" allowBlank="1" showInputMessage="1" showErrorMessage="1" sqref="C24" xr:uid="{9D12AA8C-9EFC-4DF3-9265-CC86DB8E7184}">
      <formula1>"Conservador,Moderado,Arrojado"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81BFE-C6B8-1048-89B7-2FDE85998176}">
  <dimension ref="A2:G20"/>
  <sheetViews>
    <sheetView zoomScaleNormal="100" zoomScaleSheetLayoutView="100" workbookViewId="0">
      <selection activeCell="A2" sqref="A2:D20"/>
    </sheetView>
  </sheetViews>
  <sheetFormatPr defaultRowHeight="15" x14ac:dyDescent="0.2"/>
  <cols>
    <col min="1" max="1" width="25.9609375" bestFit="1" customWidth="1"/>
    <col min="2" max="2" width="11.8359375" bestFit="1" customWidth="1"/>
    <col min="3" max="3" width="15.33203125" bestFit="1" customWidth="1"/>
    <col min="4" max="4" width="10.0859375" bestFit="1" customWidth="1"/>
    <col min="6" max="6" width="13.98828125" bestFit="1" customWidth="1"/>
  </cols>
  <sheetData>
    <row r="2" spans="1:7" x14ac:dyDescent="0.2">
      <c r="A2" s="26" t="s">
        <v>29</v>
      </c>
      <c r="B2" s="26" t="s">
        <v>17</v>
      </c>
      <c r="C2" s="26" t="s">
        <v>19</v>
      </c>
      <c r="D2" s="26" t="s">
        <v>28</v>
      </c>
      <c r="G2" t="s">
        <v>34</v>
      </c>
    </row>
    <row r="3" spans="1:7" x14ac:dyDescent="0.2">
      <c r="A3" t="str">
        <f>B3&amp;"-"&amp;C3</f>
        <v>Conservador -Papel</v>
      </c>
      <c r="B3" t="s">
        <v>30</v>
      </c>
      <c r="C3" s="23" t="s">
        <v>22</v>
      </c>
      <c r="D3" s="27">
        <v>0.3</v>
      </c>
      <c r="F3" s="33" t="s">
        <v>33</v>
      </c>
      <c r="G3" s="34">
        <f>VLOOKUP(F3,$A2:$D20,4,FALSE)</f>
        <v>0.35</v>
      </c>
    </row>
    <row r="4" spans="1:7" x14ac:dyDescent="0.2">
      <c r="A4" t="str">
        <f>B4&amp;"-"&amp;C4</f>
        <v>Conservador -Tijolo</v>
      </c>
      <c r="B4" t="s">
        <v>30</v>
      </c>
      <c r="C4" s="23" t="s">
        <v>23</v>
      </c>
      <c r="D4" s="27">
        <v>0.5</v>
      </c>
    </row>
    <row r="5" spans="1:7" x14ac:dyDescent="0.2">
      <c r="A5" t="str">
        <f>B5&amp;"-"&amp;C5</f>
        <v xml:space="preserve">Conservador -Híbrido </v>
      </c>
      <c r="B5" t="s">
        <v>30</v>
      </c>
      <c r="C5" s="23" t="s">
        <v>24</v>
      </c>
      <c r="D5" s="27">
        <v>0.1</v>
      </c>
    </row>
    <row r="6" spans="1:7" x14ac:dyDescent="0.2">
      <c r="A6" t="str">
        <f>B6&amp;"-"&amp;C6</f>
        <v>Conservador -FOFs</v>
      </c>
      <c r="B6" t="s">
        <v>30</v>
      </c>
      <c r="C6" s="23" t="s">
        <v>25</v>
      </c>
      <c r="D6" s="27">
        <v>0.1</v>
      </c>
    </row>
    <row r="7" spans="1:7" x14ac:dyDescent="0.2">
      <c r="A7" t="str">
        <f>B7&amp;"-"&amp;C7</f>
        <v xml:space="preserve">Conservador -Desenvolvimento </v>
      </c>
      <c r="B7" t="s">
        <v>30</v>
      </c>
      <c r="C7" s="23" t="s">
        <v>26</v>
      </c>
      <c r="D7" s="27">
        <v>0</v>
      </c>
    </row>
    <row r="8" spans="1:7" ht="15.75" thickBot="1" x14ac:dyDescent="0.25">
      <c r="A8" s="28" t="str">
        <f>B8&amp;"-"&amp;C8</f>
        <v xml:space="preserve">Conservador -Hotelaria </v>
      </c>
      <c r="B8" s="28" t="s">
        <v>30</v>
      </c>
      <c r="C8" s="29" t="s">
        <v>27</v>
      </c>
      <c r="D8" s="30">
        <v>0</v>
      </c>
    </row>
    <row r="9" spans="1:7" x14ac:dyDescent="0.2">
      <c r="A9" t="str">
        <f t="shared" ref="A9:A20" si="0">B9&amp;"-"&amp;C9</f>
        <v>Moderado-Papel</v>
      </c>
      <c r="B9" t="s">
        <v>31</v>
      </c>
      <c r="C9" s="23" t="s">
        <v>22</v>
      </c>
      <c r="D9" s="31">
        <v>0.32</v>
      </c>
    </row>
    <row r="10" spans="1:7" x14ac:dyDescent="0.2">
      <c r="A10" t="str">
        <f t="shared" si="0"/>
        <v>Moderado-Tijolo</v>
      </c>
      <c r="B10" t="s">
        <v>31</v>
      </c>
      <c r="C10" s="23" t="s">
        <v>23</v>
      </c>
      <c r="D10" s="31">
        <v>0.35</v>
      </c>
    </row>
    <row r="11" spans="1:7" x14ac:dyDescent="0.2">
      <c r="A11" t="str">
        <f t="shared" si="0"/>
        <v xml:space="preserve">Moderado-Híbrido </v>
      </c>
      <c r="B11" t="s">
        <v>31</v>
      </c>
      <c r="C11" s="23" t="s">
        <v>24</v>
      </c>
      <c r="D11" s="31">
        <v>0.08</v>
      </c>
    </row>
    <row r="12" spans="1:7" x14ac:dyDescent="0.2">
      <c r="A12" t="str">
        <f t="shared" si="0"/>
        <v>Moderado-FOFs</v>
      </c>
      <c r="B12" t="s">
        <v>31</v>
      </c>
      <c r="C12" s="23" t="s">
        <v>25</v>
      </c>
      <c r="D12" s="31">
        <v>0.05</v>
      </c>
    </row>
    <row r="13" spans="1:7" x14ac:dyDescent="0.2">
      <c r="A13" t="str">
        <f t="shared" si="0"/>
        <v xml:space="preserve">Moderado-Desenvolvimento </v>
      </c>
      <c r="B13" t="s">
        <v>31</v>
      </c>
      <c r="C13" s="23" t="s">
        <v>26</v>
      </c>
      <c r="D13" s="31">
        <v>0.1</v>
      </c>
    </row>
    <row r="14" spans="1:7" ht="15.75" thickBot="1" x14ac:dyDescent="0.25">
      <c r="A14" s="28" t="str">
        <f t="shared" si="0"/>
        <v xml:space="preserve">Moderado-Hotelaria </v>
      </c>
      <c r="B14" s="28" t="s">
        <v>31</v>
      </c>
      <c r="C14" s="29" t="s">
        <v>27</v>
      </c>
      <c r="D14" s="32">
        <v>0.1</v>
      </c>
    </row>
    <row r="15" spans="1:7" x14ac:dyDescent="0.2">
      <c r="A15" t="str">
        <f t="shared" si="0"/>
        <v>Agressivo-Papel</v>
      </c>
      <c r="B15" t="s">
        <v>32</v>
      </c>
      <c r="C15" s="23" t="s">
        <v>22</v>
      </c>
      <c r="D15" s="31">
        <v>0.5</v>
      </c>
    </row>
    <row r="16" spans="1:7" x14ac:dyDescent="0.2">
      <c r="A16" t="str">
        <f t="shared" si="0"/>
        <v>Agressivo-Tijolo</v>
      </c>
      <c r="B16" t="s">
        <v>32</v>
      </c>
      <c r="C16" s="23" t="s">
        <v>23</v>
      </c>
      <c r="D16" s="31">
        <v>0.1</v>
      </c>
    </row>
    <row r="17" spans="1:4" x14ac:dyDescent="0.2">
      <c r="A17" t="str">
        <f t="shared" si="0"/>
        <v xml:space="preserve">Agressivo-Híbrido </v>
      </c>
      <c r="B17" t="s">
        <v>32</v>
      </c>
      <c r="C17" s="23" t="s">
        <v>24</v>
      </c>
      <c r="D17" s="31">
        <v>0.05</v>
      </c>
    </row>
    <row r="18" spans="1:4" x14ac:dyDescent="0.2">
      <c r="A18" t="str">
        <f t="shared" si="0"/>
        <v>Agressivo-FOFs</v>
      </c>
      <c r="B18" t="s">
        <v>32</v>
      </c>
      <c r="C18" s="23" t="s">
        <v>25</v>
      </c>
      <c r="D18" s="31">
        <v>0.05</v>
      </c>
    </row>
    <row r="19" spans="1:4" x14ac:dyDescent="0.2">
      <c r="A19" t="str">
        <f t="shared" si="0"/>
        <v xml:space="preserve">Agressivo-Desenvolvimento </v>
      </c>
      <c r="B19" t="s">
        <v>32</v>
      </c>
      <c r="C19" s="23" t="s">
        <v>26</v>
      </c>
      <c r="D19" s="31">
        <v>0.2</v>
      </c>
    </row>
    <row r="20" spans="1:4" x14ac:dyDescent="0.2">
      <c r="A20" t="str">
        <f t="shared" si="0"/>
        <v xml:space="preserve">Agressivo-Hotelaria </v>
      </c>
      <c r="B20" t="s">
        <v>32</v>
      </c>
      <c r="C20" s="23" t="s">
        <v>27</v>
      </c>
      <c r="D20" s="31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Planilha-APOIO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Nya Mendes De Freitas</dc:creator>
  <dcterms:created xsi:type="dcterms:W3CDTF">2025-12-18T19:45:08Z</dcterms:created>
</cp:coreProperties>
</file>